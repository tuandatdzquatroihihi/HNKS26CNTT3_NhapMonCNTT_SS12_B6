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F7C39EE-4007-48D2-A5A6-C872547B80EA}" xr6:coauthVersionLast="47" xr6:coauthVersionMax="47" xr10:uidLastSave="{00000000-0000-0000-0000-000000000000}"/>
  <bookViews>
    <workbookView xWindow="-110" yWindow="-110" windowWidth="25820" windowHeight="15500" xr2:uid="{41488323-20D9-4A5E-BC34-0CEFA5BF1F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<sst xmlns="http://schemas.openxmlformats.org/spreadsheetml/2006/main" count="44" uniqueCount="32">
  <si>
    <t>STT</t>
  </si>
  <si>
    <t>SH001</t>
  </si>
  <si>
    <t>Villa Riverside</t>
  </si>
  <si>
    <t>Biệt thự</t>
  </si>
  <si>
    <t>MG01</t>
  </si>
  <si>
    <t>Nguyễn An</t>
  </si>
  <si>
    <t>SH002</t>
  </si>
  <si>
    <t>Sunrise Apartment</t>
  </si>
  <si>
    <t>Căn hộ</t>
  </si>
  <si>
    <t>MG02</t>
  </si>
  <si>
    <t>Trần Minh</t>
  </si>
  <si>
    <t>SH003</t>
  </si>
  <si>
    <t>Green Park House</t>
  </si>
  <si>
    <t>Nhà phố</t>
  </si>
  <si>
    <t>MG03</t>
  </si>
  <si>
    <t>Lê Hằng</t>
  </si>
  <si>
    <t>SH004</t>
  </si>
  <si>
    <t>Skyline Apartment</t>
  </si>
  <si>
    <t>SH005</t>
  </si>
  <si>
    <t>Ocean View Villa</t>
  </si>
  <si>
    <t>SH006</t>
  </si>
  <si>
    <t>Central House</t>
  </si>
  <si>
    <t>MG04</t>
  </si>
  <si>
    <t>Phạm Nam</t>
  </si>
  <si>
    <t>hoa_hong</t>
  </si>
  <si>
    <t>ty_le_hoa_hong</t>
  </si>
  <si>
    <t>moi_gioi</t>
  </si>
  <si>
    <t>ma_moi_gioi</t>
  </si>
  <si>
    <t>gia_ban</t>
  </si>
  <si>
    <t>loai_bds</t>
  </si>
  <si>
    <t>ten_bds</t>
  </si>
  <si>
    <t>ma_bds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</si>
</sst>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center" wrapText="1" indent="1"/>
    </xf>
    <xf numFmtId="3" fontId="1" fillId="0" borderId="0" xfId="0" applyNumberFormat="1" applyFont="1" applyBorder="1" applyAlignment="1">
      <alignment horizontal="left" vertical="center" wrapText="1" indent="1"/>
    </xf>
    <xf numFmtId="10" fontId="1" fillId="0" borderId="0" xfId="0" applyNumberFormat="1" applyFont="1" applyBorder="1" applyAlignment="1">
      <alignment horizontal="left" vertical="center" wrapText="1" inden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774A-E799-44D7-AC49-351E313B8936}">
  <dimension ref="A1:I7"/>
  <sheetViews>
    <sheetView tabSelected="1" workbookViewId="0">
      <selection activeCell="I2" sqref="I2:I7"/>
    </sheetView>
  </sheetViews>
  <sheetFormatPr defaultRowHeight="14.5" x14ac:dyDescent="0.35"/>
  <cols>
    <col min="1" max="1" width="15.81640625" customWidth="1"/>
    <col min="2" max="2" width="21" customWidth="1"/>
    <col min="3" max="3" width="16.6328125" customWidth="1"/>
    <col min="4" max="4" width="15.81640625" customWidth="1"/>
    <col min="5" max="5" width="15.6328125" customWidth="1"/>
    <col min="6" max="6" width="16.7265625" customWidth="1"/>
    <col min="7" max="7" width="24.81640625" customWidth="1"/>
    <col min="8" max="8" width="22.1796875" customWidth="1"/>
    <col min="9" max="9" width="25.7265625" customWidth="1"/>
  </cols>
  <sheetData>
    <row r="1" spans="1:9" x14ac:dyDescent="0.35">
      <c r="A1" s="1" t="s">
        <v>0</v>
      </c>
      <c r="B1" s="1" t="s">
        <v>31</v>
      </c>
      <c r="C1" s="1" t="s">
        <v>30</v>
      </c>
      <c r="D1" s="1" t="s">
        <v>29</v>
      </c>
      <c r="E1" s="1" t="s">
        <v>28</v>
      </c>
      <c r="F1" s="1" t="s">
        <v>27</v>
      </c>
      <c r="G1" s="1" t="s">
        <v>26</v>
      </c>
      <c r="H1" s="1" t="s">
        <v>25</v>
      </c>
      <c r="I1" s="1" t="s">
        <v>24</v>
      </c>
    </row>
    <row r="2" spans="1:9" x14ac:dyDescent="0.35">
      <c r="A2" s="1">
        <v>1</v>
      </c>
      <c r="B2" s="1" t="s">
        <v>1</v>
      </c>
      <c r="C2" s="1" t="s">
        <v>2</v>
      </c>
      <c r="D2" s="1" t="s">
        <v>3</v>
      </c>
      <c r="E2" s="2">
        <v>15000000000</v>
      </c>
      <c r="F2" s="1" t="s">
        <v>4</v>
      </c>
      <c r="G2" s="1" t="str">
        <f>VLOOKUP(F2, Sheet2!$A$1:$C$5, 2, 0)</f>
        <v>Nguyễn An</v>
      </c>
      <c r="H2" s="3">
        <f>VLOOKUP(F2, Sheet2!$A$1:$C$5, 3, 0)</f>
        <v>0.02</v>
      </c>
      <c r="I2" s="2">
        <f>H2*E2</f>
        <v>300000000</v>
      </c>
    </row>
    <row r="3" spans="1:9" ht="28" x14ac:dyDescent="0.35">
      <c r="A3" s="1">
        <v>2</v>
      </c>
      <c r="B3" s="1" t="s">
        <v>6</v>
      </c>
      <c r="C3" s="1" t="s">
        <v>7</v>
      </c>
      <c r="D3" s="1" t="s">
        <v>8</v>
      </c>
      <c r="E3" s="2">
        <v>3200000000</v>
      </c>
      <c r="F3" s="1" t="s">
        <v>9</v>
      </c>
      <c r="G3" s="1" t="str">
        <f>VLOOKUP(F3, Sheet2!$A$1:$C$5, 2, 0)</f>
        <v>Trần Minh</v>
      </c>
      <c r="H3" s="3">
        <f>VLOOKUP(F3, Sheet2!$A$1:$C$5, 3, 0)</f>
        <v>1.4999999999999999E-2</v>
      </c>
      <c r="I3" s="2">
        <f t="shared" ref="I3:I7" si="0">H3*E3</f>
        <v>48000000</v>
      </c>
    </row>
    <row r="4" spans="1:9" ht="28" x14ac:dyDescent="0.35">
      <c r="A4" s="1">
        <v>3</v>
      </c>
      <c r="B4" s="1" t="s">
        <v>11</v>
      </c>
      <c r="C4" s="1" t="s">
        <v>12</v>
      </c>
      <c r="D4" s="1" t="s">
        <v>13</v>
      </c>
      <c r="E4" s="2">
        <v>6800000000</v>
      </c>
      <c r="F4" s="1" t="s">
        <v>14</v>
      </c>
      <c r="G4" s="1" t="str">
        <f>VLOOKUP(F4, Sheet2!$A$1:$C$5, 2, 0)</f>
        <v>Lê Hằng</v>
      </c>
      <c r="H4" s="3">
        <f>VLOOKUP(F4, Sheet2!$A$1:$C$5, 3, 0)</f>
        <v>1.7999999999999999E-2</v>
      </c>
      <c r="I4" s="2">
        <f t="shared" si="0"/>
        <v>122399999.99999999</v>
      </c>
    </row>
    <row r="5" spans="1:9" ht="28" x14ac:dyDescent="0.35">
      <c r="A5" s="1">
        <v>4</v>
      </c>
      <c r="B5" s="1" t="s">
        <v>16</v>
      </c>
      <c r="C5" s="1" t="s">
        <v>17</v>
      </c>
      <c r="D5" s="1" t="s">
        <v>8</v>
      </c>
      <c r="E5" s="2">
        <v>2650000000</v>
      </c>
      <c r="F5" s="1" t="s">
        <v>9</v>
      </c>
      <c r="G5" s="1" t="str">
        <f>VLOOKUP(F5, Sheet2!$A$1:$C$5, 2, 0)</f>
        <v>Trần Minh</v>
      </c>
      <c r="H5" s="3">
        <f>VLOOKUP(F5, Sheet2!$A$1:$C$5, 3, 0)</f>
        <v>1.4999999999999999E-2</v>
      </c>
      <c r="I5" s="2">
        <f t="shared" si="0"/>
        <v>39750000</v>
      </c>
    </row>
    <row r="6" spans="1:9" ht="28" x14ac:dyDescent="0.35">
      <c r="A6" s="1">
        <v>5</v>
      </c>
      <c r="B6" s="1" t="s">
        <v>18</v>
      </c>
      <c r="C6" s="1" t="s">
        <v>19</v>
      </c>
      <c r="D6" s="1" t="s">
        <v>3</v>
      </c>
      <c r="E6" s="2">
        <v>18500000000</v>
      </c>
      <c r="F6" s="1" t="s">
        <v>4</v>
      </c>
      <c r="G6" s="1" t="str">
        <f>VLOOKUP(F6, Sheet2!$A$1:$C$5, 2, 0)</f>
        <v>Nguyễn An</v>
      </c>
      <c r="H6" s="3">
        <f>VLOOKUP(F6, Sheet2!$A$1:$C$5, 3, 0)</f>
        <v>0.02</v>
      </c>
      <c r="I6" s="2">
        <f t="shared" si="0"/>
        <v>370000000</v>
      </c>
    </row>
    <row r="7" spans="1:9" x14ac:dyDescent="0.35">
      <c r="A7" s="1">
        <v>6</v>
      </c>
      <c r="B7" s="1" t="s">
        <v>20</v>
      </c>
      <c r="C7" s="1" t="s">
        <v>21</v>
      </c>
      <c r="D7" s="1" t="s">
        <v>13</v>
      </c>
      <c r="E7" s="2">
        <v>5200000000</v>
      </c>
      <c r="F7" s="1" t="s">
        <v>22</v>
      </c>
      <c r="G7" s="1" t="str">
        <f>VLOOKUP(F7, Sheet2!$A$1:$C$5, 2, 0)</f>
        <v>Phạm Nam</v>
      </c>
      <c r="H7" s="3">
        <f>VLOOKUP(F7, Sheet2!$A$1:$C$5, 3, 0)</f>
        <v>1.6E-2</v>
      </c>
      <c r="I7" s="2">
        <f t="shared" si="0"/>
        <v>83200000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85F5-005F-4D7A-A396-343E27C4F6A6}">
  <dimension ref="A1:C5"/>
  <sheetViews>
    <sheetView workbookViewId="0">
      <selection activeCell="A2" sqref="A2"/>
    </sheetView>
  </sheetViews>
  <sheetFormatPr defaultRowHeight="14.5" x14ac:dyDescent="0.35"/>
  <cols>
    <col min="1" max="1" width="20" style="4" customWidth="1"/>
    <col min="2" max="3" width="24.1796875" style="4" customWidth="1"/>
    <col min="4" max="16384" width="8.7265625" style="4"/>
  </cols>
  <sheetData>
    <row r="1" spans="1:3" x14ac:dyDescent="0.35">
      <c r="A1" s="1" t="s">
        <v>27</v>
      </c>
      <c r="B1" s="1" t="s">
        <v>26</v>
      </c>
      <c r="C1" s="1" t="s">
        <v>25</v>
      </c>
    </row>
    <row r="2" spans="1:3" x14ac:dyDescent="0.35">
      <c r="A2" s="1" t="s">
        <v>4</v>
      </c>
      <c r="B2" s="1" t="s">
        <v>5</v>
      </c>
      <c r="C2" s="3">
        <v>0.02</v>
      </c>
    </row>
    <row r="3" spans="1:3" x14ac:dyDescent="0.35">
      <c r="A3" s="1" t="s">
        <v>9</v>
      </c>
      <c r="B3" s="1" t="s">
        <v>10</v>
      </c>
      <c r="C3" s="3">
        <v>1.4999999999999999E-2</v>
      </c>
    </row>
    <row r="4" spans="1:3" x14ac:dyDescent="0.35">
      <c r="A4" s="1" t="s">
        <v>14</v>
      </c>
      <c r="B4" s="1" t="s">
        <v>15</v>
      </c>
      <c r="C4" s="3">
        <v>1.7999999999999999E-2</v>
      </c>
    </row>
    <row r="5" spans="1:3" x14ac:dyDescent="0.35">
      <c r="A5" s="1" t="s">
        <v>22</v>
      </c>
      <c r="B5" s="1" t="s">
        <v>23</v>
      </c>
      <c r="C5" s="3">
        <v>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Tuấn Đạt</dc:creator>
  <cp:lastModifiedBy>Đào Tuấn Đạt</cp:lastModifiedBy>
  <dcterms:created xsi:type="dcterms:W3CDTF">2026-10-26T13:51:08Z</dcterms:created>
  <dcterms:modified xsi:type="dcterms:W3CDTF">2026-10-26T13:55:36Z</dcterms:modified>
</cp:coreProperties>
</file>